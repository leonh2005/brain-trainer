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黃金版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C8A96E"/>
      <sz val="10"/>
    </font>
    <font>
      <name val="Arial"/>
      <b val="1"/>
      <color rgb="00FFFFFF"/>
      <sz val="10"/>
    </font>
    <font>
      <name val="Arial"/>
      <b val="1"/>
      <color rgb="001A56DB"/>
      <sz val="11"/>
    </font>
    <font>
      <name val="Arial"/>
      <color rgb="00000000"/>
      <sz val="11"/>
    </font>
    <font>
      <name val="Arial"/>
      <color rgb="000000FF"/>
      <sz val="11"/>
    </font>
    <font>
      <name val="Arial"/>
      <b val="1"/>
      <color rgb="001A7A45"/>
      <sz val="11"/>
    </font>
    <font>
      <name val="Arial"/>
      <color rgb="005A6078"/>
      <sz val="11"/>
    </font>
    <font>
      <name val="Arial"/>
      <b val="1"/>
      <color rgb="00FFFFFF"/>
      <sz val="11"/>
    </font>
    <font>
      <name val="Arial"/>
      <b val="1"/>
      <color rgb="00C8A96E"/>
      <sz val="11"/>
    </font>
    <font>
      <name val="Arial"/>
      <b val="1"/>
      <color rgb="00FFFFFF"/>
      <sz val="12"/>
    </font>
    <font>
      <name val="Arial"/>
      <b val="1"/>
      <color rgb="001C1F26"/>
      <sz val="11"/>
    </font>
    <font>
      <name val="Arial"/>
      <b val="1"/>
      <color rgb="00C0392B"/>
      <sz val="11"/>
    </font>
    <font>
      <name val="Arial"/>
      <b val="1"/>
      <color rgb="00C8A96E"/>
      <sz val="13"/>
    </font>
  </fonts>
  <fills count="10">
    <fill>
      <patternFill/>
    </fill>
    <fill>
      <patternFill patternType="gray125"/>
    </fill>
    <fill>
      <patternFill patternType="solid">
        <fgColor rgb="001C1F26"/>
      </patternFill>
    </fill>
    <fill>
      <patternFill patternType="solid">
        <fgColor rgb="002D3748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4A5568"/>
      </patternFill>
    </fill>
    <fill>
      <patternFill patternType="solid">
        <fgColor rgb="00F5EDD8"/>
      </patternFill>
    </fill>
    <fill>
      <patternFill patternType="solid">
        <fgColor rgb="00D6F4E5"/>
      </patternFill>
    </fill>
    <fill>
      <patternFill patternType="solid">
        <fgColor rgb="00FDE8E8"/>
      </patternFill>
    </fill>
  </fills>
  <borders count="5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1C1F26"/>
      </left>
      <right style="thin">
        <color rgb="001C1F26"/>
      </right>
      <top style="thin">
        <color rgb="001C1F26"/>
      </top>
      <bottom style="thin">
        <color rgb="001C1F26"/>
      </bottom>
    </border>
    <border>
      <left style="thin">
        <color rgb="004A5568"/>
      </left>
      <right style="thin">
        <color rgb="004A5568"/>
      </right>
      <top style="thin">
        <color rgb="004A5568"/>
      </top>
      <bottom style="thin">
        <color rgb="004A5568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3" fontId="6" fillId="4" borderId="2" applyAlignment="1" pivotButton="0" quotePrefix="0" xfId="0">
      <alignment horizontal="center" vertical="center"/>
    </xf>
    <xf numFmtId="164" fontId="5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3" fontId="6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3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0">
      <alignment horizontal="center" vertical="center"/>
    </xf>
    <xf numFmtId="0" fontId="11" fillId="2" borderId="3" applyAlignment="1" pivotButton="0" quotePrefix="0" xfId="0">
      <alignment horizontal="left" vertical="center"/>
    </xf>
    <xf numFmtId="0" fontId="3" fillId="6" borderId="4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3" fontId="6" fillId="7" borderId="2" applyAlignment="1" pivotButton="0" quotePrefix="0" xfId="0">
      <alignment horizontal="center" vertical="center"/>
    </xf>
    <xf numFmtId="164" fontId="5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vertical="center" wrapText="1"/>
    </xf>
    <xf numFmtId="0" fontId="9" fillId="6" borderId="4" applyAlignment="1" pivotButton="0" quotePrefix="0" xfId="0">
      <alignment horizontal="center" vertical="center"/>
    </xf>
    <xf numFmtId="3" fontId="10" fillId="6" borderId="4" applyAlignment="1" pivotButton="0" quotePrefix="0" xfId="0">
      <alignment horizontal="center" vertical="center"/>
    </xf>
    <xf numFmtId="164" fontId="10" fillId="6" borderId="4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3" fontId="7" fillId="8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center" vertical="center"/>
    </xf>
    <xf numFmtId="3" fontId="13" fillId="9" borderId="2" applyAlignment="1" pivotButton="0" quotePrefix="0" xfId="0">
      <alignment horizontal="center" vertical="center"/>
    </xf>
    <xf numFmtId="2" fontId="14" fillId="6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8" customWidth="1" min="4" max="4"/>
    <col width="14" customWidth="1" min="5" max="5"/>
    <col width="22" customWidth="1" min="6" max="6"/>
    <col width="10" customWidth="1" min="7" max="7"/>
    <col width="24" customWidth="1" min="8" max="8"/>
  </cols>
  <sheetData>
    <row r="1" ht="36" customHeight="1">
      <c r="A1" s="1" t="inlineStr">
        <is>
          <t>黃金版投資組合配置</t>
        </is>
      </c>
    </row>
    <row r="2" ht="22" customHeight="1">
      <c r="A2" s="2" t="inlineStr">
        <is>
          <t>穩健成長型 · 大漲+24.0% / 大跌-15.9% / 賺賠比 1.51</t>
        </is>
      </c>
    </row>
    <row r="3" ht="8" customHeight="1"/>
    <row r="4" ht="22" customHeight="1">
      <c r="A4" s="3" t="inlineStr">
        <is>
          <t>標的</t>
        </is>
      </c>
      <c r="B4" s="3" t="inlineStr">
        <is>
          <t>名稱</t>
        </is>
      </c>
      <c r="C4" s="3" t="inlineStr">
        <is>
          <t>配置（萬）</t>
        </is>
      </c>
      <c r="D4" s="3" t="inlineStr">
        <is>
          <t>佔比</t>
        </is>
      </c>
      <c r="E4" s="3" t="inlineStr">
        <is>
          <t>五年報酬</t>
        </is>
      </c>
      <c r="F4" s="3" t="inlineStr">
        <is>
          <t>如何買入</t>
        </is>
      </c>
      <c r="G4" s="3" t="inlineStr">
        <is>
          <t>交易所</t>
        </is>
      </c>
      <c r="H4" s="3" t="inlineStr">
        <is>
          <t>備註</t>
        </is>
      </c>
    </row>
    <row r="5" ht="20" customHeight="1">
      <c r="A5" s="4" t="inlineStr">
        <is>
          <t>006208</t>
        </is>
      </c>
      <c r="B5" s="5" t="inlineStr">
        <is>
          <t>富邦台50</t>
        </is>
      </c>
      <c r="C5" s="6" t="n">
        <v>140</v>
      </c>
      <c r="D5" s="7">
        <f>C5/280</f>
        <v/>
      </c>
      <c r="E5" s="8" t="inlineStr">
        <is>
          <t>+149.1%</t>
        </is>
      </c>
      <c r="F5" s="5" t="inlineStr">
        <is>
          <t>台股券商直接下單</t>
        </is>
      </c>
      <c r="G5" s="9" t="inlineStr">
        <is>
          <t>TWSE</t>
        </is>
      </c>
      <c r="H5" s="10" t="inlineStr">
        <is>
          <t>台積電佔比高，台股核心</t>
        </is>
      </c>
    </row>
    <row r="6" ht="20" customHeight="1">
      <c r="A6" s="11" t="inlineStr">
        <is>
          <t>00881</t>
        </is>
      </c>
      <c r="B6" s="12" t="inlineStr">
        <is>
          <t>國泰永續高股息</t>
        </is>
      </c>
      <c r="C6" s="13" t="n">
        <v>140</v>
      </c>
      <c r="D6" s="14">
        <f>C6/280</f>
        <v/>
      </c>
      <c r="E6" s="15" t="inlineStr">
        <is>
          <t>+189.1%</t>
        </is>
      </c>
      <c r="F6" s="12" t="inlineStr">
        <is>
          <t>台股券商直接下單</t>
        </is>
      </c>
      <c r="G6" s="16" t="inlineStr">
        <is>
          <t>TWSE</t>
        </is>
      </c>
      <c r="H6" s="17" t="inlineStr">
        <is>
          <t>2026初高配息，填息中</t>
        </is>
      </c>
    </row>
    <row r="7" ht="20" customHeight="1">
      <c r="A7" s="4" t="inlineStr">
        <is>
          <t>VWRA</t>
        </is>
      </c>
      <c r="B7" s="5" t="inlineStr">
        <is>
          <t>先鋒全球股票</t>
        </is>
      </c>
      <c r="C7" s="6" t="n">
        <v>140</v>
      </c>
      <c r="D7" s="7">
        <f>C7/280</f>
        <v/>
      </c>
      <c r="E7" s="8" t="inlineStr">
        <is>
          <t>+50.0%</t>
        </is>
      </c>
      <c r="F7" s="5" t="inlineStr">
        <is>
          <t>IBKR / 複委託</t>
        </is>
      </c>
      <c r="G7" s="9" t="inlineStr">
        <is>
          <t>LSE</t>
        </is>
      </c>
      <c r="H7" s="10" t="inlineStr">
        <is>
          <t>全球分散，累積型不配息</t>
        </is>
      </c>
    </row>
    <row r="8" ht="20" customHeight="1">
      <c r="A8" s="11" t="inlineStr">
        <is>
          <t>GRID</t>
        </is>
      </c>
      <c r="B8" s="12" t="inlineStr">
        <is>
          <t>全球電力基建</t>
        </is>
      </c>
      <c r="C8" s="13" t="n">
        <v>105</v>
      </c>
      <c r="D8" s="14">
        <f>C8/280</f>
        <v/>
      </c>
      <c r="E8" s="15" t="inlineStr">
        <is>
          <t>+93.2%</t>
        </is>
      </c>
      <c r="F8" s="12" t="inlineStr">
        <is>
          <t>IBKR / 複委託</t>
        </is>
      </c>
      <c r="G8" s="16" t="inlineStr">
        <is>
          <t>NYSE</t>
        </is>
      </c>
      <c r="H8" s="17" t="inlineStr">
        <is>
          <t>AI基建結構性需求</t>
        </is>
      </c>
    </row>
    <row r="9" ht="20" customHeight="1">
      <c r="A9" s="4" t="inlineStr">
        <is>
          <t>00635U</t>
        </is>
      </c>
      <c r="B9" s="5" t="inlineStr">
        <is>
          <t>元大黃金</t>
        </is>
      </c>
      <c r="C9" s="6" t="n">
        <v>70</v>
      </c>
      <c r="D9" s="7">
        <f>C9/280</f>
        <v/>
      </c>
      <c r="E9" s="8" t="inlineStr">
        <is>
          <t>+93.3%</t>
        </is>
      </c>
      <c r="F9" s="5" t="inlineStr">
        <is>
          <t>台股券商直接下單</t>
        </is>
      </c>
      <c r="G9" s="9" t="inlineStr">
        <is>
          <t>TWSE</t>
        </is>
      </c>
      <c r="H9" s="10" t="inlineStr">
        <is>
          <t>通膨避險，非相關資產</t>
        </is>
      </c>
    </row>
    <row r="10" ht="20" customHeight="1">
      <c r="A10" s="11" t="inlineStr">
        <is>
          <t>XLU</t>
        </is>
      </c>
      <c r="B10" s="12" t="inlineStr">
        <is>
          <t>美國公用事業</t>
        </is>
      </c>
      <c r="C10" s="13" t="n">
        <v>35</v>
      </c>
      <c r="D10" s="14">
        <f>C10/280</f>
        <v/>
      </c>
      <c r="E10" s="15" t="inlineStr">
        <is>
          <t>+65.6%</t>
        </is>
      </c>
      <c r="F10" s="12" t="inlineStr">
        <is>
          <t>IBKR / 複委託</t>
        </is>
      </c>
      <c r="G10" s="16" t="inlineStr">
        <is>
          <t>NYSE</t>
        </is>
      </c>
      <c r="H10" s="17" t="inlineStr">
        <is>
          <t>防禦性，抗跌穩定器</t>
        </is>
      </c>
    </row>
    <row r="11" ht="20" customHeight="1">
      <c r="A11" s="4" t="inlineStr">
        <is>
          <t>00864B</t>
        </is>
      </c>
      <c r="B11" s="5" t="inlineStr">
        <is>
          <t>中信美債0-1年</t>
        </is>
      </c>
      <c r="C11" s="6" t="n">
        <v>35</v>
      </c>
      <c r="D11" s="7">
        <f>C11/280</f>
        <v/>
      </c>
      <c r="E11" s="8" t="inlineStr">
        <is>
          <t>+33.2%</t>
        </is>
      </c>
      <c r="F11" s="5" t="inlineStr">
        <is>
          <t>台股券商直接下單</t>
        </is>
      </c>
      <c r="G11" s="9" t="inlineStr">
        <is>
          <t>TWSE</t>
        </is>
      </c>
      <c r="H11" s="10" t="inlineStr">
        <is>
          <t>極低波動，質押抵押品</t>
        </is>
      </c>
    </row>
    <row r="12" ht="22" customHeight="1">
      <c r="A12" s="18" t="inlineStr">
        <is>
          <t>合計</t>
        </is>
      </c>
      <c r="B12" s="18" t="n"/>
      <c r="C12" s="19">
        <f>SUM(C5:C11)</f>
        <v/>
      </c>
      <c r="D12" s="20">
        <f>SUM(D5:D11)</f>
        <v/>
      </c>
      <c r="E12" s="18" t="n"/>
      <c r="F12" s="18" t="n"/>
      <c r="G12" s="18" t="n"/>
      <c r="H12" s="18" t="n"/>
    </row>
    <row r="13" ht="12" customHeight="1"/>
    <row r="14" ht="26" customHeight="1">
      <c r="A14" s="21" t="inlineStr">
        <is>
          <t>分批投入計畫</t>
        </is>
      </c>
    </row>
    <row r="15" ht="20" customHeight="1">
      <c r="A15" s="22" t="inlineStr">
        <is>
          <t>批次</t>
        </is>
      </c>
      <c r="B15" s="22" t="inlineStr">
        <is>
          <t>預計時間</t>
        </is>
      </c>
      <c r="C15" s="22" t="inlineStr">
        <is>
          <t>金額（萬）</t>
        </is>
      </c>
      <c r="D15" s="22" t="inlineStr">
        <is>
          <t>佔總額</t>
        </is>
      </c>
      <c r="E15" s="22" t="inlineStr">
        <is>
          <t>優先標的</t>
        </is>
      </c>
      <c r="F15" s="22" t="inlineStr">
        <is>
          <t>買入邏輯</t>
        </is>
      </c>
    </row>
    <row r="16" ht="22" customHeight="1">
      <c r="A16" s="23" t="inlineStr">
        <is>
          <t>第一批</t>
        </is>
      </c>
      <c r="B16" s="24" t="inlineStr">
        <is>
          <t>現在（2026/04）</t>
        </is>
      </c>
      <c r="C16" s="25" t="n">
        <v>280</v>
      </c>
      <c r="D16" s="26">
        <f>C16/700</f>
        <v/>
      </c>
      <c r="E16" s="27" t="inlineStr">
        <is>
          <t>006208、00881、00635U、00864B</t>
        </is>
      </c>
      <c r="F16" s="28" t="inlineStr">
        <is>
          <t>台股四檔先建倉，熟悉且可立即執行</t>
        </is>
      </c>
    </row>
    <row r="17" ht="22" customHeight="1">
      <c r="A17" s="29" t="inlineStr">
        <is>
          <t>第二批</t>
        </is>
      </c>
      <c r="B17" s="16" t="inlineStr">
        <is>
          <t>一個月後（05月）</t>
        </is>
      </c>
      <c r="C17" s="13" t="n">
        <v>210</v>
      </c>
      <c r="D17" s="14">
        <f>C17/700</f>
        <v/>
      </c>
      <c r="E17" s="30" t="inlineStr">
        <is>
          <t>VWRA、GRID</t>
        </is>
      </c>
      <c r="F17" s="31" t="inlineStr">
        <is>
          <t>觀察關稅情勢後，海外部位分批進場</t>
        </is>
      </c>
    </row>
    <row r="18" ht="22" customHeight="1">
      <c r="A18" s="32" t="inlineStr">
        <is>
          <t>第三批</t>
        </is>
      </c>
      <c r="B18" s="9" t="inlineStr">
        <is>
          <t>兩個月後（06月）</t>
        </is>
      </c>
      <c r="C18" s="6" t="n">
        <v>210</v>
      </c>
      <c r="D18" s="7">
        <f>C18/700</f>
        <v/>
      </c>
      <c r="E18" s="33" t="inlineStr">
        <is>
          <t>XLU，補足各標的</t>
        </is>
      </c>
      <c r="F18" s="34" t="inlineStr">
        <is>
          <t>完成全部建倉，依市況微調比例</t>
        </is>
      </c>
    </row>
    <row r="19" ht="20" customHeight="1">
      <c r="A19" s="35" t="inlineStr">
        <is>
          <t>合計</t>
        </is>
      </c>
      <c r="B19" s="35" t="n"/>
      <c r="C19" s="36">
        <f>SUM(C16:C18)</f>
        <v/>
      </c>
      <c r="D19" s="37">
        <f>SUM(D16:D18)</f>
        <v/>
      </c>
      <c r="E19" s="35" t="n"/>
      <c r="F19" s="35" t="n"/>
    </row>
    <row r="20" ht="12" customHeight="1"/>
    <row r="21" ht="26" customHeight="1">
      <c r="A21" s="21" t="inlineStr">
        <is>
          <t>情境模擬</t>
        </is>
      </c>
    </row>
    <row r="22" ht="20" customHeight="1">
      <c r="A22" s="22" t="inlineStr">
        <is>
          <t>情境</t>
        </is>
      </c>
      <c r="B22" s="22" t="inlineStr">
        <is>
          <t>006208報酬</t>
        </is>
      </c>
      <c r="C22" s="22" t="inlineStr">
        <is>
          <t>組合預估報酬</t>
        </is>
      </c>
      <c r="D22" s="22" t="inlineStr">
        <is>
          <t>獲利/損失（萬）</t>
        </is>
      </c>
      <c r="E22" s="22" t="inlineStr">
        <is>
          <t>賺賠比</t>
        </is>
      </c>
    </row>
    <row r="23" ht="22" customHeight="1">
      <c r="A23" s="38" t="inlineStr">
        <is>
          <t>大漲情境</t>
        </is>
      </c>
      <c r="B23" s="38" t="inlineStr">
        <is>
          <t>+35%</t>
        </is>
      </c>
      <c r="C23" s="38" t="inlineStr">
        <is>
          <t>+24.0%</t>
        </is>
      </c>
      <c r="D23" s="39">
        <f>700*0.24</f>
        <v/>
      </c>
    </row>
    <row r="24" ht="22" customHeight="1">
      <c r="A24" s="40" t="inlineStr">
        <is>
          <t>大跌情境</t>
        </is>
      </c>
      <c r="B24" s="40" t="inlineStr">
        <is>
          <t>-20%</t>
        </is>
      </c>
      <c r="C24" s="40" t="inlineStr">
        <is>
          <t>-15.9%</t>
        </is>
      </c>
      <c r="D24" s="41">
        <f>-700*0.159</f>
        <v/>
      </c>
    </row>
    <row r="25" ht="22" customHeight="1">
      <c r="A25" s="35" t="inlineStr">
        <is>
          <t>賺賠比</t>
        </is>
      </c>
      <c r="B25" s="35" t="n"/>
      <c r="C25" s="35" t="n"/>
      <c r="D25" s="35" t="n"/>
      <c r="E25" s="42" t="n">
        <v>1.51</v>
      </c>
    </row>
  </sheetData>
  <mergeCells count="4">
    <mergeCell ref="A21:H21"/>
    <mergeCell ref="A14:H1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2026-04-04T07:29:00Z</dcterms:created>
  <dcterms:modified xsi:type="dcterms:W3CDTF">2026-04-04T07:29:00Z</dcterms:modified>
</cp:coreProperties>
</file>